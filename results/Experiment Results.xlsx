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jalilitorkamani2/Codes/Assertion-Generation-Tool-Public-Thesis-Repo/results/"/>
    </mc:Choice>
  </mc:AlternateContent>
  <xr:revisionPtr revIDLastSave="0" documentId="13_ncr:1_{7DC29563-F3E2-F94A-97EE-2220B8CF6CAC}" xr6:coauthVersionLast="47" xr6:coauthVersionMax="47" xr10:uidLastSave="{00000000-0000-0000-0000-000000000000}"/>
  <bookViews>
    <workbookView xWindow="-4340" yWindow="-20980" windowWidth="38400" windowHeight="19700" activeTab="1" xr2:uid="{DA674940-60FC-794E-B56D-A055D95D16AA}"/>
  </bookViews>
  <sheets>
    <sheet name="Raw Data - GPT-4o" sheetId="6" r:id="rId1"/>
    <sheet name="Raw Data - LLaMA-3.2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7" i="6" s="1"/>
  <c r="B8" i="6" s="1"/>
  <c r="B11" i="6"/>
  <c r="B14" i="6"/>
  <c r="B15" i="6"/>
  <c r="B18" i="6"/>
  <c r="B19" i="6" s="1"/>
  <c r="F18" i="8"/>
  <c r="E18" i="8"/>
  <c r="D18" i="8"/>
  <c r="C18" i="8"/>
  <c r="B18" i="8"/>
  <c r="F15" i="8"/>
  <c r="E15" i="8"/>
  <c r="D15" i="8"/>
  <c r="C15" i="8"/>
  <c r="B15" i="8"/>
  <c r="F14" i="8"/>
  <c r="E14" i="8"/>
  <c r="D14" i="8"/>
  <c r="C14" i="8"/>
  <c r="B14" i="8"/>
  <c r="F11" i="8"/>
  <c r="E11" i="8"/>
  <c r="D11" i="8"/>
  <c r="C11" i="8"/>
  <c r="B11" i="8"/>
  <c r="F6" i="8"/>
  <c r="F7" i="8" s="1"/>
  <c r="F8" i="8" s="1"/>
  <c r="E6" i="8"/>
  <c r="E7" i="8" s="1"/>
  <c r="E8" i="8" s="1"/>
  <c r="D6" i="8"/>
  <c r="D7" i="8" s="1"/>
  <c r="D8" i="8" s="1"/>
  <c r="C6" i="8"/>
  <c r="C7" i="8" s="1"/>
  <c r="C8" i="8" s="1"/>
  <c r="B6" i="8"/>
  <c r="B7" i="8" s="1"/>
  <c r="B8" i="8" s="1"/>
  <c r="C6" i="6"/>
  <c r="C7" i="6" s="1"/>
  <c r="C8" i="6" s="1"/>
  <c r="D6" i="6"/>
  <c r="D7" i="6" s="1"/>
  <c r="D8" i="6" s="1"/>
  <c r="E6" i="6"/>
  <c r="E7" i="6" s="1"/>
  <c r="E8" i="6" s="1"/>
  <c r="F6" i="6"/>
  <c r="F7" i="6" s="1"/>
  <c r="F8" i="6" s="1"/>
  <c r="C11" i="6"/>
  <c r="D11" i="6"/>
  <c r="E11" i="6"/>
  <c r="F11" i="6"/>
  <c r="C14" i="6"/>
  <c r="D14" i="6"/>
  <c r="E14" i="6"/>
  <c r="F14" i="6"/>
  <c r="C15" i="6"/>
  <c r="D15" i="6"/>
  <c r="E15" i="6"/>
  <c r="F15" i="6"/>
  <c r="C18" i="6"/>
  <c r="D18" i="6"/>
  <c r="E18" i="6"/>
  <c r="F18" i="6"/>
  <c r="E19" i="8" l="1"/>
  <c r="D19" i="8"/>
  <c r="E19" i="6"/>
  <c r="F19" i="8"/>
  <c r="C19" i="8"/>
  <c r="B19" i="8"/>
  <c r="F19" i="6"/>
  <c r="D19" i="6"/>
  <c r="C19" i="6"/>
</calcChain>
</file>

<file path=xl/sharedStrings.xml><?xml version="1.0" encoding="utf-8"?>
<sst xmlns="http://schemas.openxmlformats.org/spreadsheetml/2006/main" count="100" uniqueCount="50">
  <si>
    <t>baseline</t>
  </si>
  <si>
    <t>AssertionFul Records</t>
  </si>
  <si>
    <t>AssertionLess Records</t>
  </si>
  <si>
    <t>Maven Records</t>
  </si>
  <si>
    <t>Gradle Recorrds</t>
  </si>
  <si>
    <t>Syntactically correct Inference Records</t>
  </si>
  <si>
    <t>Syntactic and Static Semantically correct Inference Records</t>
  </si>
  <si>
    <t>Syntactic, Static semantic, and Passed All Unit Test Inference Records</t>
  </si>
  <si>
    <t>Inferred Assertions</t>
  </si>
  <si>
    <t>Picked Assertions</t>
  </si>
  <si>
    <t>Validity Ratio (%)</t>
  </si>
  <si>
    <t>Executed Unit Tests (Covered)</t>
  </si>
  <si>
    <t>Executed Unit Tests (Uncovered)</t>
  </si>
  <si>
    <t>Executed Unit Tests</t>
  </si>
  <si>
    <t>Covered Unit tests ratio (out of those passed)(%)</t>
  </si>
  <si>
    <t>Passed Unit Tests (Covered)</t>
  </si>
  <si>
    <t>Passed Unit Tests (Uncovered)</t>
  </si>
  <si>
    <t>Passed Unit tests</t>
  </si>
  <si>
    <t>Passed Unit tests ratio (%)</t>
  </si>
  <si>
    <t>Failed Unit Tests (Covered)</t>
  </si>
  <si>
    <t>Failed Unit Tests (Uncovered)</t>
  </si>
  <si>
    <t>Syntactic Weighted Average</t>
  </si>
  <si>
    <t>Statis Semantic Weighted Average</t>
  </si>
  <si>
    <t>Dynamic Semantic Weighted Average</t>
  </si>
  <si>
    <t>average of Average Length Of Predicted Assertions</t>
  </si>
  <si>
    <t>average of Average Length Of Ground-truth Assertions</t>
  </si>
  <si>
    <t>average generation time</t>
  </si>
  <si>
    <t>average ACDT</t>
  </si>
  <si>
    <t>Rouge-L average F1-score</t>
  </si>
  <si>
    <t>Rouge-L average Precision score</t>
  </si>
  <si>
    <t>Rouge-L average Recall score</t>
  </si>
  <si>
    <t>Jaccard average similarity score</t>
  </si>
  <si>
    <t>variable-level average CR score</t>
  </si>
  <si>
    <t>variable-level average CSI score</t>
  </si>
  <si>
    <t>method-level average CR score</t>
  </si>
  <si>
    <t>method-level average CSI score</t>
  </si>
  <si>
    <t>constant-level average CR score</t>
  </si>
  <si>
    <t>constant-level average CSI score</t>
  </si>
  <si>
    <t>operator-level average CR score</t>
  </si>
  <si>
    <t>operator-level average CSI score</t>
  </si>
  <si>
    <t>Size</t>
  </si>
  <si>
    <t>Baseline</t>
  </si>
  <si>
    <t>Model A</t>
  </si>
  <si>
    <t>Model B</t>
  </si>
  <si>
    <t>Model C</t>
  </si>
  <si>
    <t>Model D</t>
  </si>
  <si>
    <t>Tool (FT: A, Inp: A)</t>
  </si>
  <si>
    <t>Tool (FT: B, Inp: B)</t>
  </si>
  <si>
    <t>Tool (FT: C, Inp: C)</t>
  </si>
  <si>
    <t>Tool (FT: D, Inp: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</si>
</sst>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GPT-4o'!$B$7,'Raw Data - GPT-4o'!$C$7,'Raw Data - GPT-4o'!$D$7,'Raw Data - GPT-4o'!$E$7,'Raw Data - GPT-4o'!$F$7)</c:f>
              <c:numCache>
                <c:formatCode>General</c:formatCode>
                <c:ptCount val="5"/>
                <c:pt idx="0">
                  <c:v>39.667000000000002</c:v>
                </c:pt>
                <c:pt idx="1">
                  <c:v>43.667000000000002</c:v>
                </c:pt>
                <c:pt idx="2">
                  <c:v>45.666699999999999</c:v>
                </c:pt>
                <c:pt idx="3">
                  <c:v>46.667000000000002</c:v>
                </c:pt>
                <c:pt idx="4">
                  <c:v>48.667000000000002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5-2346-AEC9-D56D6AB73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478880"/>
        <c:axId val="561480592"/>
      </c:barChart>
      <c:catAx>
        <c:axId val="56147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</a:t>
                </a:r>
                <a:r>
                  <a:rPr lang="en-US" baseline="0"/>
                  <a:t>e </a:t>
                </a:r>
                <a:r>
                  <a:rPr lang="en-US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80592"/>
        <c:crosses val="autoZero"/>
        <c:auto val="1"/>
        <c:lblAlgn val="ctr"/>
        <c:lblOffset val="100"/>
        <c:noMultiLvlLbl val="0"/>
      </c:catAx>
      <c:valAx>
        <c:axId val="56148059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 sta (#)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7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GPT-4o'!$B$8,'Raw Data - GPT-4o'!$C$8,'Raw Data - GPT-4o'!$D$8,'Raw Data - GPT-4o'!$E$8,'Raw Data - GPT-4o'!$F$8)</c:f>
              <c:numCache>
                <c:formatCode>General</c:formatCode>
                <c:ptCount val="5"/>
                <c:pt idx="0">
                  <c:v>33.001000000000005</c:v>
                </c:pt>
                <c:pt idx="1">
                  <c:v>38.667000000000002</c:v>
                </c:pt>
                <c:pt idx="2">
                  <c:v>38.667699999999996</c:v>
                </c:pt>
                <c:pt idx="3">
                  <c:v>39.457000000000001</c:v>
                </c:pt>
                <c:pt idx="4">
                  <c:v>41.667000000000002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F-C84A-B6B7-824BDF546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759184"/>
        <c:axId val="1014110352"/>
      </c:barChart>
      <c:catAx>
        <c:axId val="35675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10352"/>
        <c:crosses val="autoZero"/>
        <c:auto val="1"/>
        <c:lblAlgn val="ctr"/>
        <c:lblOffset val="100"/>
        <c:noMultiLvlLbl val="0"/>
      </c:catAx>
      <c:valAx>
        <c:axId val="101411035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 dyn (#)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0E-4C4C-8AC3-01D89927CB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GPT-4o'!$B$11,'Raw Data - GPT-4o'!$C$11,'Raw Data - GPT-4o'!$D$11,'Raw Data - GPT-4o'!$E$11,'Raw Data - GPT-4o'!$F$11)</c:f>
              <c:numCache>
                <c:formatCode>General</c:formatCode>
                <c:ptCount val="5"/>
                <c:pt idx="0">
                  <c:v>63.447196801183956</c:v>
                </c:pt>
                <c:pt idx="1">
                  <c:v>65.178260520183215</c:v>
                </c:pt>
                <c:pt idx="2">
                  <c:v>67.72667148487038</c:v>
                </c:pt>
                <c:pt idx="3">
                  <c:v>70.044669997092484</c:v>
                </c:pt>
                <c:pt idx="4">
                  <c:v>71.254539492062719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E-4C4C-8AC3-01D89927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79344"/>
        <c:axId val="1347132416"/>
      </c:barChart>
      <c:catAx>
        <c:axId val="102087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32416"/>
        <c:crosses val="autoZero"/>
        <c:auto val="1"/>
        <c:lblAlgn val="ctr"/>
        <c:lblOffset val="100"/>
        <c:noMultiLvlLbl val="0"/>
      </c:catAx>
      <c:valAx>
        <c:axId val="13471324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Validity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GPT-4o'!$B$19,'Raw Data - GPT-4o'!$C$19,'Raw Data - GPT-4o'!$D$19,'Raw Data - GPT-4o'!$E$19,'Raw Data - GPT-4o'!$F$19)</c:f>
              <c:numCache>
                <c:formatCode>General</c:formatCode>
                <c:ptCount val="5"/>
                <c:pt idx="0">
                  <c:v>86.174180658765877</c:v>
                </c:pt>
                <c:pt idx="1">
                  <c:v>88.416551930428056</c:v>
                </c:pt>
                <c:pt idx="2">
                  <c:v>84.05</c:v>
                </c:pt>
                <c:pt idx="3">
                  <c:v>86.567127726262484</c:v>
                </c:pt>
                <c:pt idx="4">
                  <c:v>89.659957795746109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8-654A-99BA-B58ED8086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667871"/>
        <c:axId val="628817791"/>
      </c:barChart>
      <c:catAx>
        <c:axId val="204266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17791"/>
        <c:crosses val="autoZero"/>
        <c:auto val="1"/>
        <c:lblAlgn val="ctr"/>
        <c:lblOffset val="100"/>
        <c:noMultiLvlLbl val="0"/>
      </c:catAx>
      <c:valAx>
        <c:axId val="6288177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6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GPT-4o'!$B$15,'Raw Data - GPT-4o'!$C$15,'Raw Data - GPT-4o'!$D$15,'Raw Data - GPT-4o'!$E$15,'Raw Data - GPT-4o'!$F$15)</c:f>
              <c:numCache>
                <c:formatCode>General</c:formatCode>
                <c:ptCount val="5"/>
                <c:pt idx="0">
                  <c:v>47.030034923475142</c:v>
                </c:pt>
                <c:pt idx="1">
                  <c:v>47.761194029850742</c:v>
                </c:pt>
                <c:pt idx="2">
                  <c:v>51.812477212104938</c:v>
                </c:pt>
                <c:pt idx="3">
                  <c:v>58.307392813143608</c:v>
                </c:pt>
                <c:pt idx="4">
                  <c:v>59.483943805595764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B-8242-97C5-F8FB5EDA0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851567"/>
        <c:axId val="1057952239"/>
      </c:barChart>
      <c:catAx>
        <c:axId val="134585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52239"/>
        <c:crosses val="autoZero"/>
        <c:auto val="1"/>
        <c:lblAlgn val="ctr"/>
        <c:lblOffset val="100"/>
        <c:noMultiLvlLbl val="0"/>
      </c:catAx>
      <c:valAx>
        <c:axId val="10579522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GPT-4o'!$B$23,'Raw Data - GPT-4o'!$C$23,'Raw Data - GPT-4o'!$D$23,'Raw Data - GPT-4o'!$E$23,'Raw Data - GPT-4o'!$F$23)</c:f>
              <c:numCache>
                <c:formatCode>General</c:formatCode>
                <c:ptCount val="5"/>
                <c:pt idx="0">
                  <c:v>0.71599999999999997</c:v>
                </c:pt>
                <c:pt idx="1">
                  <c:v>0.748</c:v>
                </c:pt>
                <c:pt idx="2">
                  <c:v>0.76400000000000001</c:v>
                </c:pt>
                <c:pt idx="3">
                  <c:v>0.79600000000000004</c:v>
                </c:pt>
                <c:pt idx="4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6-544C-B63E-DDE1A6549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188992"/>
        <c:axId val="1897233376"/>
      </c:barChart>
      <c:catAx>
        <c:axId val="189718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33376"/>
        <c:crosses val="autoZero"/>
        <c:auto val="1"/>
        <c:lblAlgn val="ctr"/>
        <c:lblOffset val="100"/>
        <c:noMultiLvlLbl val="0"/>
      </c:catAx>
      <c:valAx>
        <c:axId val="1897233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AvgStatVal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8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GPT-4o'!$B$25,'Raw Data - GPT-4o'!$C$25,'Raw Data - GPT-4o'!$D$25,'Raw Data - GPT-4o'!$E$25,'Raw Data - GPT-4o'!$F$25)</c:f>
              <c:numCache>
                <c:formatCode>General</c:formatCode>
                <c:ptCount val="5"/>
                <c:pt idx="0">
                  <c:v>30.422000000000001</c:v>
                </c:pt>
                <c:pt idx="1">
                  <c:v>36.758000000000003</c:v>
                </c:pt>
                <c:pt idx="2">
                  <c:v>36.25</c:v>
                </c:pt>
                <c:pt idx="3">
                  <c:v>35.322000000000003</c:v>
                </c:pt>
                <c:pt idx="4">
                  <c:v>35.08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7-0842-A4E7-9A9B04109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055728"/>
        <c:axId val="1102802399"/>
      </c:barChart>
      <c:catAx>
        <c:axId val="99905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02399"/>
        <c:crosses val="autoZero"/>
        <c:auto val="1"/>
        <c:lblAlgn val="ctr"/>
        <c:lblOffset val="100"/>
        <c:noMultiLvlLbl val="0"/>
      </c:catAx>
      <c:valAx>
        <c:axId val="110280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length (#characters)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5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GPT-4o'!$B$27,'Raw Data - GPT-4o'!$C$27,'Raw Data - GPT-4o'!$D$27,'Raw Data - GPT-4o'!$E$27,'Raw Data - GPT-4o'!$F$27)</c:f>
              <c:numCache>
                <c:formatCode>General</c:formatCode>
                <c:ptCount val="5"/>
                <c:pt idx="0">
                  <c:v>39376.35</c:v>
                </c:pt>
                <c:pt idx="1">
                  <c:v>32681.671999999999</c:v>
                </c:pt>
                <c:pt idx="2">
                  <c:v>30908.85</c:v>
                </c:pt>
                <c:pt idx="3">
                  <c:v>34816.927000000003</c:v>
                </c:pt>
                <c:pt idx="4">
                  <c:v>36516.271999999997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F-2242-91AE-1EF67DEEA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204304"/>
        <c:axId val="1535144975"/>
      </c:barChart>
      <c:catAx>
        <c:axId val="102220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44975"/>
        <c:crosses val="autoZero"/>
        <c:auto val="1"/>
        <c:lblAlgn val="ctr"/>
        <c:lblOffset val="100"/>
        <c:noMultiLvlLbl val="0"/>
      </c:catAx>
      <c:valAx>
        <c:axId val="15351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generation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0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GPT-4o'!$B$28,'Raw Data - GPT-4o'!$C$28,'Raw Data - GPT-4o'!$D$28,'Raw Data - GPT-4o'!$E$28,'Raw Data - GPT-4o'!$F$28)</c:f>
              <c:numCache>
                <c:formatCode>General</c:formatCode>
                <c:ptCount val="5"/>
                <c:pt idx="0">
                  <c:v>0.49</c:v>
                </c:pt>
                <c:pt idx="1">
                  <c:v>0.50800000000000001</c:v>
                </c:pt>
                <c:pt idx="2">
                  <c:v>0.51500000000000001</c:v>
                </c:pt>
                <c:pt idx="3">
                  <c:v>0.54200000000000004</c:v>
                </c:pt>
                <c:pt idx="4">
                  <c:v>0.56899999999999995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D-D048-9DA4-8485F0FAD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174048"/>
        <c:axId val="1532863344"/>
      </c:barChart>
      <c:catAx>
        <c:axId val="15321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63344"/>
        <c:crosses val="autoZero"/>
        <c:auto val="1"/>
        <c:lblAlgn val="ctr"/>
        <c:lblOffset val="100"/>
        <c:noMultiLvlLbl val="0"/>
      </c:catAx>
      <c:valAx>
        <c:axId val="153286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GPT-4o'!$B$32,'Raw Data - GPT-4o'!$C$32,'Raw Data - GPT-4o'!$D$32,'Raw Data - GPT-4o'!$E$32,'Raw Data - GPT-4o'!$F$32)</c:f>
              <c:numCache>
                <c:formatCode>General</c:formatCode>
                <c:ptCount val="5"/>
                <c:pt idx="0">
                  <c:v>0.44600000000000001</c:v>
                </c:pt>
                <c:pt idx="1">
                  <c:v>0.51300000000000001</c:v>
                </c:pt>
                <c:pt idx="2">
                  <c:v>0.52500000000000002</c:v>
                </c:pt>
                <c:pt idx="3">
                  <c:v>0.53</c:v>
                </c:pt>
                <c:pt idx="4">
                  <c:v>0.55500000000000005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0-5448-BA7C-24555C758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421584"/>
        <c:axId val="1844927968"/>
      </c:barChart>
      <c:catAx>
        <c:axId val="184542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27968"/>
        <c:crosses val="autoZero"/>
        <c:auto val="1"/>
        <c:lblAlgn val="ctr"/>
        <c:lblOffset val="100"/>
        <c:noMultiLvlLbl val="0"/>
      </c:catAx>
      <c:valAx>
        <c:axId val="1844927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Jaccard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2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GPT-4o'!$B$44:$F$44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GPT-4o'!$B$24,'Raw Data - GPT-4o'!$C$24,'Raw Data - GPT-4o'!$D$24,'Raw Data - GPT-4o'!$E$24,'Raw Data - GPT-4o'!$F$24)</c:f>
              <c:numCache>
                <c:formatCode>General</c:formatCode>
                <c:ptCount val="5"/>
                <c:pt idx="0">
                  <c:v>0.63500000000000001</c:v>
                </c:pt>
                <c:pt idx="1">
                  <c:v>0.65</c:v>
                </c:pt>
                <c:pt idx="2">
                  <c:v>0.68300000000000005</c:v>
                </c:pt>
                <c:pt idx="3">
                  <c:v>0.69899999999999995</c:v>
                </c:pt>
                <c:pt idx="4">
                  <c:v>0.746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4-ED45-A6FD-A5811A984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545808"/>
        <c:axId val="1345993391"/>
      </c:barChart>
      <c:catAx>
        <c:axId val="187054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93391"/>
        <c:crosses val="autoZero"/>
        <c:auto val="1"/>
        <c:lblAlgn val="ctr"/>
        <c:lblOffset val="100"/>
        <c:noMultiLvlLbl val="0"/>
      </c:catAx>
      <c:valAx>
        <c:axId val="1345993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AvgDynVal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54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LLaMA-3.2'!$B$7,'Raw Data - LLaMA-3.2'!$C$7,'Raw Data - LLaMA-3.2'!$D$7,'Raw Data - LLaMA-3.2'!$E$7,'Raw Data - LLaMA-3.2'!$F$7)</c:f>
              <c:numCache>
                <c:formatCode>General</c:formatCode>
                <c:ptCount val="5"/>
                <c:pt idx="0">
                  <c:v>23</c:v>
                </c:pt>
                <c:pt idx="1">
                  <c:v>27</c:v>
                </c:pt>
                <c:pt idx="2">
                  <c:v>29.334</c:v>
                </c:pt>
                <c:pt idx="3">
                  <c:v>32.334000000000003</c:v>
                </c:pt>
                <c:pt idx="4">
                  <c:v>33.667000000000002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7-5D44-8CA0-EC901366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478880"/>
        <c:axId val="561480592"/>
      </c:barChart>
      <c:catAx>
        <c:axId val="56147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</a:t>
                </a:r>
                <a:r>
                  <a:rPr lang="en-US" baseline="0"/>
                  <a:t>e </a:t>
                </a:r>
                <a:r>
                  <a:rPr lang="en-US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80592"/>
        <c:crosses val="autoZero"/>
        <c:auto val="1"/>
        <c:lblAlgn val="ctr"/>
        <c:lblOffset val="100"/>
        <c:noMultiLvlLbl val="0"/>
      </c:catAx>
      <c:valAx>
        <c:axId val="56148059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 sta (#)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7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LLaMA-3.2'!$B$8,'Raw Data - LLaMA-3.2'!$C$8,'Raw Data - LLaMA-3.2'!$D$8,'Raw Data - LLaMA-3.2'!$E$8,'Raw Data - LLaMA-3.2'!$F$8)</c:f>
              <c:numCache>
                <c:formatCode>General</c:formatCode>
                <c:ptCount val="5"/>
                <c:pt idx="0">
                  <c:v>6.6670000000000016</c:v>
                </c:pt>
                <c:pt idx="1">
                  <c:v>12.334</c:v>
                </c:pt>
                <c:pt idx="2">
                  <c:v>14.334</c:v>
                </c:pt>
                <c:pt idx="3">
                  <c:v>21.334000000000003</c:v>
                </c:pt>
                <c:pt idx="4">
                  <c:v>25.667000000000002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1-1743-A0C4-B6B8EA65E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759184"/>
        <c:axId val="1014110352"/>
      </c:barChart>
      <c:catAx>
        <c:axId val="35675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110352"/>
        <c:crosses val="autoZero"/>
        <c:auto val="1"/>
        <c:lblAlgn val="ctr"/>
        <c:lblOffset val="100"/>
        <c:noMultiLvlLbl val="0"/>
      </c:catAx>
      <c:valAx>
        <c:axId val="101411035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 dyn (#)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28-344B-ADB4-1501571B92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LLaMA-3.2'!$B$11,'Raw Data - LLaMA-3.2'!$C$11,'Raw Data - LLaMA-3.2'!$D$11,'Raw Data - LLaMA-3.2'!$E$11,'Raw Data - LLaMA-3.2'!$F$11)</c:f>
              <c:numCache>
                <c:formatCode>General</c:formatCode>
                <c:ptCount val="5"/>
                <c:pt idx="0">
                  <c:v>38.550247116968698</c:v>
                </c:pt>
                <c:pt idx="1">
                  <c:v>38.537313432835823</c:v>
                </c:pt>
                <c:pt idx="2">
                  <c:v>38.929824561403507</c:v>
                </c:pt>
                <c:pt idx="3">
                  <c:v>38.930072704417093</c:v>
                </c:pt>
                <c:pt idx="4">
                  <c:v>46.909271523178809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8-344B-ADB4-1501571B9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79344"/>
        <c:axId val="1347132416"/>
      </c:barChart>
      <c:catAx>
        <c:axId val="102087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32416"/>
        <c:crosses val="autoZero"/>
        <c:auto val="1"/>
        <c:lblAlgn val="ctr"/>
        <c:lblOffset val="100"/>
        <c:noMultiLvlLbl val="0"/>
      </c:catAx>
      <c:valAx>
        <c:axId val="13471324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Validity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LLaMA-3.2'!$B$19,'Raw Data - LLaMA-3.2'!$C$19,'Raw Data - LLaMA-3.2'!$D$19,'Raw Data - LLaMA-3.2'!$E$19,'Raw Data - LLaMA-3.2'!$F$19)</c:f>
              <c:numCache>
                <c:formatCode>General</c:formatCode>
                <c:ptCount val="5"/>
                <c:pt idx="0">
                  <c:v>78.02489148122018</c:v>
                </c:pt>
                <c:pt idx="1">
                  <c:v>86.692885375494072</c:v>
                </c:pt>
                <c:pt idx="2">
                  <c:v>81.922222222222217</c:v>
                </c:pt>
                <c:pt idx="3">
                  <c:v>76.95548192551</c:v>
                </c:pt>
                <c:pt idx="4">
                  <c:v>84.17467145248493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B-EE4A-8D25-8394BEF9C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667871"/>
        <c:axId val="628817791"/>
      </c:barChart>
      <c:catAx>
        <c:axId val="2042667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17791"/>
        <c:crosses val="autoZero"/>
        <c:auto val="1"/>
        <c:lblAlgn val="ctr"/>
        <c:lblOffset val="100"/>
        <c:noMultiLvlLbl val="0"/>
      </c:catAx>
      <c:valAx>
        <c:axId val="6288177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66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LLaMA-3.2'!$B$15,'Raw Data - LLaMA-3.2'!$C$15,'Raw Data - LLaMA-3.2'!$D$15,'Raw Data - LLaMA-3.2'!$E$15,'Raw Data - LLaMA-3.2'!$F$15)</c:f>
              <c:numCache>
                <c:formatCode>General</c:formatCode>
                <c:ptCount val="5"/>
                <c:pt idx="0">
                  <c:v>37.096165446026738</c:v>
                </c:pt>
                <c:pt idx="1">
                  <c:v>42.09717643947787</c:v>
                </c:pt>
                <c:pt idx="2">
                  <c:v>44.133356584190707</c:v>
                </c:pt>
                <c:pt idx="3">
                  <c:v>46.135053116315419</c:v>
                </c:pt>
                <c:pt idx="4">
                  <c:v>48.70336199624149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E-A44B-81EF-9E8F3C84A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851567"/>
        <c:axId val="1057952239"/>
      </c:barChart>
      <c:catAx>
        <c:axId val="134585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952239"/>
        <c:crosses val="autoZero"/>
        <c:auto val="1"/>
        <c:lblAlgn val="ctr"/>
        <c:lblOffset val="100"/>
        <c:noMultiLvlLbl val="0"/>
      </c:catAx>
      <c:valAx>
        <c:axId val="10579522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CUTR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5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LLaMA-3.2'!$B$23,'Raw Data - LLaMA-3.2'!$C$23,'Raw Data - LLaMA-3.2'!$D$23,'Raw Data - LLaMA-3.2'!$E$23,'Raw Data - LLaMA-3.2'!$F$23)</c:f>
              <c:numCache>
                <c:formatCode>General</c:formatCode>
                <c:ptCount val="5"/>
                <c:pt idx="0">
                  <c:v>0.51</c:v>
                </c:pt>
                <c:pt idx="1">
                  <c:v>0.51100000000000001</c:v>
                </c:pt>
                <c:pt idx="2">
                  <c:v>0.52500000000000002</c:v>
                </c:pt>
                <c:pt idx="3">
                  <c:v>0.52900000000000003</c:v>
                </c:pt>
                <c:pt idx="4">
                  <c:v>0.54500000000000004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2-E543-855E-65F1C00B8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7188992"/>
        <c:axId val="1897233376"/>
      </c:barChart>
      <c:catAx>
        <c:axId val="189718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233376"/>
        <c:crosses val="autoZero"/>
        <c:auto val="1"/>
        <c:lblAlgn val="ctr"/>
        <c:lblOffset val="100"/>
        <c:noMultiLvlLbl val="0"/>
      </c:catAx>
      <c:valAx>
        <c:axId val="1897233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AvgStatVal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18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LLaMA-3.2'!$B$25,'Raw Data - LLaMA-3.2'!$C$25,'Raw Data - LLaMA-3.2'!$D$25,'Raw Data - LLaMA-3.2'!$E$25,'Raw Data - LLaMA-3.2'!$F$25)</c:f>
              <c:numCache>
                <c:formatCode>General</c:formatCode>
                <c:ptCount val="5"/>
                <c:pt idx="0">
                  <c:v>36.036000000000001</c:v>
                </c:pt>
                <c:pt idx="1">
                  <c:v>27.885999999999999</c:v>
                </c:pt>
                <c:pt idx="2">
                  <c:v>28.687000000000001</c:v>
                </c:pt>
                <c:pt idx="3">
                  <c:v>36.478999999999999</c:v>
                </c:pt>
                <c:pt idx="4">
                  <c:v>37.750999999999998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5-9D45-88C3-5B9681946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055728"/>
        <c:axId val="1102802399"/>
      </c:barChart>
      <c:catAx>
        <c:axId val="99905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02399"/>
        <c:crosses val="autoZero"/>
        <c:auto val="1"/>
        <c:lblAlgn val="ctr"/>
        <c:lblOffset val="100"/>
        <c:noMultiLvlLbl val="0"/>
      </c:catAx>
      <c:valAx>
        <c:axId val="110280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length (#characters)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5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LLaMA-3.2'!$B$27,'Raw Data - LLaMA-3.2'!$C$27,'Raw Data - LLaMA-3.2'!$D$27,'Raw Data - LLaMA-3.2'!$E$27,'Raw Data - LLaMA-3.2'!$F$27)</c:f>
              <c:numCache>
                <c:formatCode>General</c:formatCode>
                <c:ptCount val="5"/>
                <c:pt idx="0">
                  <c:v>45433.983</c:v>
                </c:pt>
                <c:pt idx="1">
                  <c:v>37296.887999999999</c:v>
                </c:pt>
                <c:pt idx="2">
                  <c:v>49550.75</c:v>
                </c:pt>
                <c:pt idx="3">
                  <c:v>45406.387999999999</c:v>
                </c:pt>
                <c:pt idx="4">
                  <c:v>47178.743999999999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9-A340-8281-39F475E9D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204304"/>
        <c:axId val="1535144975"/>
      </c:barChart>
      <c:catAx>
        <c:axId val="102220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44975"/>
        <c:crosses val="autoZero"/>
        <c:auto val="1"/>
        <c:lblAlgn val="ctr"/>
        <c:lblOffset val="100"/>
        <c:noMultiLvlLbl val="0"/>
      </c:catAx>
      <c:valAx>
        <c:axId val="15351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generation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0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LLaMA-3.2'!$B$28,'Raw Data - LLaMA-3.2'!$C$28,'Raw Data - LLaMA-3.2'!$D$28,'Raw Data - LLaMA-3.2'!$E$28,'Raw Data - LLaMA-3.2'!$F$28)</c:f>
              <c:numCache>
                <c:formatCode>General</c:formatCode>
                <c:ptCount val="5"/>
                <c:pt idx="0">
                  <c:v>0.41099999999999998</c:v>
                </c:pt>
                <c:pt idx="1">
                  <c:v>0.46600000000000003</c:v>
                </c:pt>
                <c:pt idx="2">
                  <c:v>0.503</c:v>
                </c:pt>
                <c:pt idx="3">
                  <c:v>0.61</c:v>
                </c:pt>
                <c:pt idx="4">
                  <c:v>0.66600000000000004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9-5C46-9CC2-38C0F7E7C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2174048"/>
        <c:axId val="1532863344"/>
      </c:barChart>
      <c:catAx>
        <c:axId val="153217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63344"/>
        <c:crosses val="autoZero"/>
        <c:auto val="1"/>
        <c:lblAlgn val="ctr"/>
        <c:lblOffset val="100"/>
        <c:noMultiLvlLbl val="0"/>
      </c:catAx>
      <c:valAx>
        <c:axId val="15328633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ACDT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LLaMA-3.2'!$B$32,'Raw Data - LLaMA-3.2'!$C$32,'Raw Data - LLaMA-3.2'!$D$32,'Raw Data - LLaMA-3.2'!$E$32,'Raw Data - LLaMA-3.2'!$F$32)</c:f>
              <c:numCache>
                <c:formatCode>General</c:formatCode>
                <c:ptCount val="5"/>
                <c:pt idx="0">
                  <c:v>0.4</c:v>
                </c:pt>
                <c:pt idx="1">
                  <c:v>0.51100000000000001</c:v>
                </c:pt>
                <c:pt idx="2">
                  <c:v>0.51900000000000002</c:v>
                </c:pt>
                <c:pt idx="3">
                  <c:v>0.53300000000000003</c:v>
                </c:pt>
                <c:pt idx="4">
                  <c:v>0.59699999999999998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B-CC47-A191-F50BF2FCF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421584"/>
        <c:axId val="1844927968"/>
      </c:barChart>
      <c:catAx>
        <c:axId val="184542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27968"/>
        <c:crosses val="autoZero"/>
        <c:auto val="1"/>
        <c:lblAlgn val="ctr"/>
        <c:lblOffset val="100"/>
        <c:noMultiLvlLbl val="0"/>
      </c:catAx>
      <c:valAx>
        <c:axId val="18449279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Jaccard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42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- LLaMA-3.2'!$B$44:$F$44</c:f>
              <c:strCache>
                <c:ptCount val="5"/>
                <c:pt idx="0">
                  <c:v>Baseline</c:v>
                </c:pt>
                <c:pt idx="1">
                  <c:v>Model A</c:v>
                </c:pt>
                <c:pt idx="2">
                  <c:v>Model B</c:v>
                </c:pt>
                <c:pt idx="3">
                  <c:v>Model C</c:v>
                </c:pt>
                <c:pt idx="4">
                  <c:v>Model D</c:v>
                </c:pt>
              </c:strCache>
            </c:strRef>
          </c:cat>
          <c:val>
            <c:numRef>
              <c:f>('Raw Data - LLaMA-3.2'!$B$24,'Raw Data - LLaMA-3.2'!$C$24,'Raw Data - LLaMA-3.2'!$D$24,'Raw Data - LLaMA-3.2'!$E$24,'Raw Data - LLaMA-3.2'!$F$24)</c:f>
              <c:numCache>
                <c:formatCode>General</c:formatCode>
                <c:ptCount val="5"/>
                <c:pt idx="0">
                  <c:v>0.38500000000000001</c:v>
                </c:pt>
                <c:pt idx="1">
                  <c:v>0.51400000000000001</c:v>
                </c:pt>
                <c:pt idx="2">
                  <c:v>0.63100000000000001</c:v>
                </c:pt>
                <c:pt idx="3">
                  <c:v>0.68899999999999995</c:v>
                </c:pt>
                <c:pt idx="4">
                  <c:v>0.69899999999999995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6-5142-8DA3-02CC1D8F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0545808"/>
        <c:axId val="1345993391"/>
      </c:barChart>
      <c:catAx>
        <c:axId val="187054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Pipeline 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993391"/>
        <c:crosses val="autoZero"/>
        <c:auto val="1"/>
        <c:lblAlgn val="ctr"/>
        <c:lblOffset val="100"/>
        <c:noMultiLvlLbl val="0"/>
      </c:catAx>
      <c:valAx>
        <c:axId val="13459933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AvgDynVal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54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140597</xdr:colOff>
      <xdr:row>45</xdr:row>
      <xdr:rowOff>20189</xdr:rowOff>
    </xdr:from>
    <xdr:to>
      <xdr:col>2</xdr:col>
      <xdr:colOff>643247</xdr:colOff>
      <xdr:row>62</xdr:row>
      <xdr:rowOff>108125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A2860-1052-5443-8523-BC17CC72E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676233</xdr:colOff>
      <xdr:row>62</xdr:row>
      <xdr:rowOff>129745</xdr:rowOff>
    </xdr:from>
    <xdr:to>
      <xdr:col>6</xdr:col>
      <xdr:colOff>0</xdr:colOff>
      <xdr:row>80</xdr:row>
      <xdr:rowOff>26198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7DF51-3A62-134D-A5DA-6B7FC083D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676233</xdr:colOff>
      <xdr:row>80</xdr:row>
      <xdr:rowOff>75321</xdr:rowOff>
    </xdr:from>
    <xdr:to>
      <xdr:col>5</xdr:col>
      <xdr:colOff>1302986</xdr:colOff>
      <xdr:row>97</xdr:row>
      <xdr:rowOff>168536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EE57B-BFB1-2549-86AB-F34D5224D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643247</xdr:colOff>
      <xdr:row>98</xdr:row>
      <xdr:rowOff>29358</xdr:rowOff>
    </xdr:from>
    <xdr:to>
      <xdr:col>6</xdr:col>
      <xdr:colOff>0</xdr:colOff>
      <xdr:row>115</xdr:row>
      <xdr:rowOff>123733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D5D19B-31C4-0043-A078-616E348C5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593766</xdr:colOff>
      <xdr:row>133</xdr:row>
      <xdr:rowOff>164772</xdr:rowOff>
    </xdr:from>
    <xdr:to>
      <xdr:col>5</xdr:col>
      <xdr:colOff>1286494</xdr:colOff>
      <xdr:row>151</xdr:row>
      <xdr:rowOff>54787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8CB917-9251-BA4C-913B-81E2D1DEAB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610260</xdr:colOff>
      <xdr:row>116</xdr:row>
      <xdr:rowOff>4232</xdr:rowOff>
    </xdr:from>
    <xdr:to>
      <xdr:col>5</xdr:col>
      <xdr:colOff>1286494</xdr:colOff>
      <xdr:row>133</xdr:row>
      <xdr:rowOff>98608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0B7E4C-66AD-2C4D-BEB3-8714C9F8D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115454</xdr:colOff>
      <xdr:row>133</xdr:row>
      <xdr:rowOff>122436</xdr:rowOff>
    </xdr:from>
    <xdr:to>
      <xdr:col>2</xdr:col>
      <xdr:colOff>511298</xdr:colOff>
      <xdr:row>151</xdr:row>
      <xdr:rowOff>18889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3F9115-355D-9042-AC24-731A78596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136345</xdr:colOff>
      <xdr:row>62</xdr:row>
      <xdr:rowOff>144485</xdr:rowOff>
    </xdr:from>
    <xdr:to>
      <xdr:col>2</xdr:col>
      <xdr:colOff>626753</xdr:colOff>
      <xdr:row>80</xdr:row>
      <xdr:rowOff>39776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5C5E80-CFE3-404F-90C6-A8102F03A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128759</xdr:colOff>
      <xdr:row>80</xdr:row>
      <xdr:rowOff>76201</xdr:rowOff>
    </xdr:from>
    <xdr:to>
      <xdr:col>2</xdr:col>
      <xdr:colOff>626754</xdr:colOff>
      <xdr:row>97</xdr:row>
      <xdr:rowOff>169415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0C4ADD-55D2-2542-95DC-69AC6C583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117322</xdr:colOff>
      <xdr:row>98</xdr:row>
      <xdr:rowOff>42775</xdr:rowOff>
    </xdr:from>
    <xdr:to>
      <xdr:col>2</xdr:col>
      <xdr:colOff>593767</xdr:colOff>
      <xdr:row>115</xdr:row>
      <xdr:rowOff>135988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50F13B-5249-1941-9EF7-6EAA352EB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109883</xdr:colOff>
      <xdr:row>115</xdr:row>
      <xdr:rowOff>184738</xdr:rowOff>
    </xdr:from>
    <xdr:to>
      <xdr:col>2</xdr:col>
      <xdr:colOff>560779</xdr:colOff>
      <xdr:row>133</xdr:row>
      <xdr:rowOff>77640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66DF3E-4BDD-C746-B8AE-AD9F1D955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30514</xdr:colOff>
      <xdr:row>44</xdr:row>
      <xdr:rowOff>180583</xdr:rowOff>
    </xdr:from>
    <xdr:to>
      <xdr:col>1</xdr:col>
      <xdr:colOff>1255058</xdr:colOff>
      <xdr:row>62</xdr:row>
      <xdr:rowOff>64621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68079-910B-6D49-8738-48741839D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1240118</xdr:colOff>
      <xdr:row>62</xdr:row>
      <xdr:rowOff>195719</xdr:rowOff>
    </xdr:from>
    <xdr:to>
      <xdr:col>5</xdr:col>
      <xdr:colOff>1299882</xdr:colOff>
      <xdr:row>80</xdr:row>
      <xdr:rowOff>92172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B5A73-75E6-594A-82EA-4989B0F2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14940</xdr:colOff>
      <xdr:row>80</xdr:row>
      <xdr:rowOff>161861</xdr:rowOff>
    </xdr:from>
    <xdr:to>
      <xdr:col>5</xdr:col>
      <xdr:colOff>1299881</xdr:colOff>
      <xdr:row>98</xdr:row>
      <xdr:rowOff>45900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389FDC-7E4C-0E43-B22F-4764FCAEA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104588</xdr:colOff>
      <xdr:row>98</xdr:row>
      <xdr:rowOff>132975</xdr:rowOff>
    </xdr:from>
    <xdr:to>
      <xdr:col>5</xdr:col>
      <xdr:colOff>1299882</xdr:colOff>
      <xdr:row>116</xdr:row>
      <xdr:rowOff>29429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E71488-B264-D441-B587-5E538B63B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104587</xdr:colOff>
      <xdr:row>134</xdr:row>
      <xdr:rowOff>48346</xdr:rowOff>
    </xdr:from>
    <xdr:to>
      <xdr:col>5</xdr:col>
      <xdr:colOff>1255058</xdr:colOff>
      <xdr:row>151</xdr:row>
      <xdr:rowOff>147537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FD5B3-A6D0-BF4A-A599-88951A58E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104587</xdr:colOff>
      <xdr:row>116</xdr:row>
      <xdr:rowOff>66131</xdr:rowOff>
    </xdr:from>
    <xdr:to>
      <xdr:col>5</xdr:col>
      <xdr:colOff>1284940</xdr:colOff>
      <xdr:row>133</xdr:row>
      <xdr:rowOff>171760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E8EBB0-B184-964F-BD8E-A4FA53853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117901</xdr:colOff>
      <xdr:row>133</xdr:row>
      <xdr:rowOff>185304</xdr:rowOff>
    </xdr:from>
    <xdr:to>
      <xdr:col>2</xdr:col>
      <xdr:colOff>0</xdr:colOff>
      <xdr:row>151</xdr:row>
      <xdr:rowOff>81757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15033D-BB22-6F4F-A438-0325A9AC6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74706</xdr:colOff>
      <xdr:row>62</xdr:row>
      <xdr:rowOff>163500</xdr:rowOff>
    </xdr:from>
    <xdr:to>
      <xdr:col>1</xdr:col>
      <xdr:colOff>1175373</xdr:colOff>
      <xdr:row>80</xdr:row>
      <xdr:rowOff>47537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69EF60-BC2B-D449-9A7F-D8105F616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74706</xdr:colOff>
      <xdr:row>80</xdr:row>
      <xdr:rowOff>121024</xdr:rowOff>
    </xdr:from>
    <xdr:to>
      <xdr:col>1</xdr:col>
      <xdr:colOff>1194796</xdr:colOff>
      <xdr:row>98</xdr:row>
      <xdr:rowOff>5062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30B66C-5584-6640-AE1D-9CD8C1B79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113053</xdr:colOff>
      <xdr:row>98</xdr:row>
      <xdr:rowOff>119032</xdr:rowOff>
    </xdr:from>
    <xdr:to>
      <xdr:col>2</xdr:col>
      <xdr:colOff>14941</xdr:colOff>
      <xdr:row>116</xdr:row>
      <xdr:rowOff>3069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A2D0F8-1C1D-8F44-B331-CDD2E8A8B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80583</xdr:colOff>
      <xdr:row>116</xdr:row>
      <xdr:rowOff>40954</xdr:rowOff>
    </xdr:from>
    <xdr:to>
      <xdr:col>1</xdr:col>
      <xdr:colOff>1240118</xdr:colOff>
      <xdr:row>133</xdr:row>
      <xdr:rowOff>131778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88B65E8-70BC-2F4F-80A1-FC2152E3B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4D84-BC56-7940-A754-5E9FD56D2902}">
  <dimension ref="A1:V152"/>
  <sheetViews>
    <sheetView zoomScale="131" workbookViewId="0">
      <selection activeCell="C1" sqref="C1:F1"/>
    </sheetView>
  </sheetViews>
  <sheetFormatPr baseColWidth="10" defaultColWidth="0" defaultRowHeight="16" zeroHeight="1" x14ac:dyDescent="0.2"/>
  <cols>
    <col min="1" max="1" width="43.33203125" style="1" customWidth="1"/>
    <col min="2" max="2" width="16.6640625" style="2" customWidth="1"/>
    <col min="3" max="3" width="16.83203125" style="2" customWidth="1"/>
    <col min="4" max="4" width="15.83203125" style="2" customWidth="1"/>
    <col min="5" max="5" width="15.6640625" style="2" customWidth="1"/>
    <col min="6" max="6" width="17.1640625" style="2" customWidth="1"/>
    <col min="7" max="8" width="0" style="2" hidden="1" customWidth="1"/>
    <col min="9" max="22" width="0" style="2" hidden="1"/>
    <col min="23" max="16382" width="10.83203125" style="2" hidden="1"/>
    <col min="16383" max="16383" width="10.83203125" style="2" hidden="1" customWidth="1"/>
    <col min="16384" max="16384" width="10.83203125" style="2" hidden="1"/>
  </cols>
  <sheetData>
    <row r="1" spans="1:6" s="1" customFormat="1" x14ac:dyDescent="0.2"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s="1" t="s">
        <v>1</v>
      </c>
      <c r="B2" s="2">
        <v>59</v>
      </c>
      <c r="C2" s="2">
        <v>59</v>
      </c>
      <c r="D2" s="2">
        <v>59</v>
      </c>
      <c r="E2" s="2">
        <v>59</v>
      </c>
      <c r="F2" s="2">
        <v>59</v>
      </c>
    </row>
    <row r="3" spans="1:6" x14ac:dyDescent="0.2">
      <c r="A3" s="1" t="s">
        <v>2</v>
      </c>
      <c r="B3" s="2">
        <v>1</v>
      </c>
      <c r="C3" s="2">
        <v>1</v>
      </c>
      <c r="D3" s="2">
        <v>1</v>
      </c>
      <c r="E3" s="2">
        <v>1</v>
      </c>
      <c r="F3" s="2">
        <v>1</v>
      </c>
    </row>
    <row r="4" spans="1:6" ht="18" customHeight="1" x14ac:dyDescent="0.2">
      <c r="A4" s="1" t="s">
        <v>3</v>
      </c>
      <c r="B4" s="2">
        <v>55</v>
      </c>
      <c r="C4" s="2">
        <v>55</v>
      </c>
      <c r="D4" s="2">
        <v>55</v>
      </c>
      <c r="E4" s="2">
        <v>55</v>
      </c>
      <c r="F4" s="2">
        <v>55</v>
      </c>
    </row>
    <row r="5" spans="1:6" ht="18" customHeight="1" x14ac:dyDescent="0.2">
      <c r="A5" s="1" t="s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 ht="17" customHeight="1" x14ac:dyDescent="0.2">
      <c r="A6" s="1" t="s">
        <v>5</v>
      </c>
      <c r="B6" s="2">
        <f>D45-0</f>
        <v>60</v>
      </c>
      <c r="C6" s="2">
        <f>D45-0</f>
        <v>60</v>
      </c>
      <c r="D6" s="2">
        <f>D45-0</f>
        <v>60</v>
      </c>
      <c r="E6" s="2">
        <f>D45-0</f>
        <v>60</v>
      </c>
      <c r="F6" s="2">
        <f>D45-0</f>
        <v>60</v>
      </c>
    </row>
    <row r="7" spans="1:6" ht="17" customHeight="1" x14ac:dyDescent="0.2">
      <c r="A7" s="1" t="s">
        <v>6</v>
      </c>
      <c r="B7" s="2">
        <f>B6-20.333</f>
        <v>39.667000000000002</v>
      </c>
      <c r="C7" s="2">
        <f>C6-16.333</f>
        <v>43.667000000000002</v>
      </c>
      <c r="D7" s="2">
        <f>D6-14.3333</f>
        <v>45.666699999999999</v>
      </c>
      <c r="E7" s="2">
        <f>E6-13.333</f>
        <v>46.667000000000002</v>
      </c>
      <c r="F7" s="2">
        <f>F6-11.333</f>
        <v>48.667000000000002</v>
      </c>
    </row>
    <row r="8" spans="1:6" x14ac:dyDescent="0.2">
      <c r="A8" s="1" t="s">
        <v>7</v>
      </c>
      <c r="B8" s="2">
        <f>B7-6.666</f>
        <v>33.001000000000005</v>
      </c>
      <c r="C8" s="2">
        <f>C7-5</f>
        <v>38.667000000000002</v>
      </c>
      <c r="D8" s="2">
        <f>D7-6.999</f>
        <v>38.667699999999996</v>
      </c>
      <c r="E8" s="2">
        <f>E7-7.21</f>
        <v>39.457000000000001</v>
      </c>
      <c r="F8" s="2">
        <f>F7-7</f>
        <v>41.667000000000002</v>
      </c>
    </row>
    <row r="9" spans="1:6" x14ac:dyDescent="0.2">
      <c r="A9" s="1" t="s">
        <v>8</v>
      </c>
      <c r="B9" s="2">
        <v>224.333</v>
      </c>
      <c r="C9" s="2">
        <v>74.665999999999997</v>
      </c>
      <c r="D9" s="2">
        <v>73.332999999999998</v>
      </c>
      <c r="E9" s="2">
        <v>75.665999999999997</v>
      </c>
      <c r="F9" s="2">
        <v>82.332999999999998</v>
      </c>
    </row>
    <row r="10" spans="1:6" x14ac:dyDescent="0.2">
      <c r="A10" s="1" t="s">
        <v>9</v>
      </c>
      <c r="B10" s="2">
        <v>142.333</v>
      </c>
      <c r="C10" s="2">
        <v>48.665999999999997</v>
      </c>
      <c r="D10" s="2">
        <v>49.665999999999997</v>
      </c>
      <c r="E10" s="2">
        <v>53</v>
      </c>
      <c r="F10" s="2">
        <v>58.665999999999997</v>
      </c>
    </row>
    <row r="11" spans="1:6" x14ac:dyDescent="0.2">
      <c r="A11" s="1" t="s">
        <v>10</v>
      </c>
      <c r="B11" s="2">
        <f t="shared" ref="B11:F11" si="0">B10/B9*100</f>
        <v>63.447196801183956</v>
      </c>
      <c r="C11" s="2">
        <f t="shared" si="0"/>
        <v>65.178260520183215</v>
      </c>
      <c r="D11" s="2">
        <f t="shared" si="0"/>
        <v>67.72667148487038</v>
      </c>
      <c r="E11" s="2">
        <f t="shared" si="0"/>
        <v>70.044669997092484</v>
      </c>
      <c r="F11" s="2">
        <f t="shared" si="0"/>
        <v>71.254539492062719</v>
      </c>
    </row>
    <row r="12" spans="1:6" x14ac:dyDescent="0.2">
      <c r="A12" s="1" t="s">
        <v>11</v>
      </c>
      <c r="B12" s="2">
        <v>264.33300000000003</v>
      </c>
      <c r="C12" s="2">
        <v>103</v>
      </c>
      <c r="D12" s="2">
        <v>91</v>
      </c>
      <c r="E12" s="2">
        <v>130.666</v>
      </c>
      <c r="F12" s="2">
        <v>117.666</v>
      </c>
    </row>
    <row r="13" spans="1:6" x14ac:dyDescent="0.2">
      <c r="A13" s="1" t="s">
        <v>12</v>
      </c>
      <c r="B13" s="2">
        <v>367.33300000000003</v>
      </c>
      <c r="C13" s="2">
        <v>124.333</v>
      </c>
      <c r="D13" s="2">
        <v>95</v>
      </c>
      <c r="E13" s="2">
        <v>115</v>
      </c>
      <c r="F13" s="2">
        <v>127.333</v>
      </c>
    </row>
    <row r="14" spans="1:6" x14ac:dyDescent="0.2">
      <c r="A14" s="1" t="s">
        <v>13</v>
      </c>
      <c r="B14" s="2">
        <f t="shared" ref="B14:F14" si="1">B12+B13</f>
        <v>631.66600000000005</v>
      </c>
      <c r="C14" s="2">
        <f t="shared" si="1"/>
        <v>227.333</v>
      </c>
      <c r="D14" s="2">
        <f t="shared" si="1"/>
        <v>186</v>
      </c>
      <c r="E14" s="2">
        <f t="shared" si="1"/>
        <v>245.666</v>
      </c>
      <c r="F14" s="2">
        <f t="shared" si="1"/>
        <v>244.999</v>
      </c>
    </row>
    <row r="15" spans="1:6" x14ac:dyDescent="0.2">
      <c r="A15" s="1" t="s">
        <v>14</v>
      </c>
      <c r="B15" s="2">
        <f t="shared" ref="B15:F15" si="2">(B16/(B16+B17)*100)</f>
        <v>47.030034923475142</v>
      </c>
      <c r="C15" s="2">
        <f t="shared" si="2"/>
        <v>47.761194029850742</v>
      </c>
      <c r="D15" s="2">
        <f t="shared" si="2"/>
        <v>51.812477212104938</v>
      </c>
      <c r="E15" s="2">
        <f t="shared" si="2"/>
        <v>58.307392813143608</v>
      </c>
      <c r="F15" s="2">
        <f t="shared" si="2"/>
        <v>59.483943805595764</v>
      </c>
    </row>
    <row r="16" spans="1:6" x14ac:dyDescent="0.2">
      <c r="A16" s="1" t="s">
        <v>15</v>
      </c>
      <c r="B16" s="2">
        <v>256</v>
      </c>
      <c r="C16" s="2">
        <v>96</v>
      </c>
      <c r="D16" s="2">
        <v>81</v>
      </c>
      <c r="E16" s="2">
        <v>124</v>
      </c>
      <c r="F16" s="2">
        <v>130.666</v>
      </c>
    </row>
    <row r="17" spans="1:6" x14ac:dyDescent="0.2">
      <c r="A17" s="1" t="s">
        <v>16</v>
      </c>
      <c r="B17" s="2">
        <v>288.33300000000003</v>
      </c>
      <c r="C17" s="2">
        <v>105</v>
      </c>
      <c r="D17" s="2">
        <v>75.332999999999998</v>
      </c>
      <c r="E17" s="2">
        <v>88.665999999999997</v>
      </c>
      <c r="F17" s="2">
        <v>89</v>
      </c>
    </row>
    <row r="18" spans="1:6" x14ac:dyDescent="0.2">
      <c r="A18" s="1" t="s">
        <v>17</v>
      </c>
      <c r="B18" s="2">
        <f t="shared" ref="B18:F18" si="3">B17+B16</f>
        <v>544.33300000000008</v>
      </c>
      <c r="C18" s="2">
        <f t="shared" si="3"/>
        <v>201</v>
      </c>
      <c r="D18" s="2">
        <f t="shared" si="3"/>
        <v>156.333</v>
      </c>
      <c r="E18" s="2">
        <f t="shared" si="3"/>
        <v>212.666</v>
      </c>
      <c r="F18" s="2">
        <f t="shared" si="3"/>
        <v>219.666</v>
      </c>
    </row>
    <row r="19" spans="1:6" x14ac:dyDescent="0.2">
      <c r="A19" s="1" t="s">
        <v>18</v>
      </c>
      <c r="B19" s="2">
        <f t="shared" ref="B19:F19" si="4">B18/B14*100</f>
        <v>86.174180658765877</v>
      </c>
      <c r="C19" s="2">
        <f t="shared" si="4"/>
        <v>88.416551930428056</v>
      </c>
      <c r="D19" s="2">
        <f t="shared" si="4"/>
        <v>84.05</v>
      </c>
      <c r="E19" s="2">
        <f t="shared" si="4"/>
        <v>86.567127726262484</v>
      </c>
      <c r="F19" s="2">
        <f t="shared" si="4"/>
        <v>89.659957795746109</v>
      </c>
    </row>
    <row r="20" spans="1:6" x14ac:dyDescent="0.2">
      <c r="A20" s="1" t="s">
        <v>19</v>
      </c>
      <c r="B20" s="2">
        <v>8.3330000000000002</v>
      </c>
      <c r="C20" s="2">
        <v>7</v>
      </c>
      <c r="D20" s="2">
        <v>10</v>
      </c>
      <c r="E20" s="2">
        <v>6.6660000000000004</v>
      </c>
      <c r="F20" s="2">
        <v>9</v>
      </c>
    </row>
    <row r="21" spans="1:6" x14ac:dyDescent="0.2">
      <c r="A21" s="1" t="s">
        <v>20</v>
      </c>
      <c r="B21" s="2">
        <v>79</v>
      </c>
      <c r="C21" s="2">
        <v>19.332999999999998</v>
      </c>
      <c r="D21" s="2">
        <v>19.666</v>
      </c>
      <c r="E21" s="2">
        <v>26.332999999999998</v>
      </c>
      <c r="F21" s="2">
        <v>38.332999999999998</v>
      </c>
    </row>
    <row r="22" spans="1:6" ht="17" customHeight="1" x14ac:dyDescent="0.2">
      <c r="A22" s="1" t="s">
        <v>21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</row>
    <row r="23" spans="1:6" ht="17" customHeight="1" x14ac:dyDescent="0.2">
      <c r="A23" s="1" t="s">
        <v>22</v>
      </c>
      <c r="B23" s="2">
        <v>0.71599999999999997</v>
      </c>
      <c r="C23" s="2">
        <v>0.748</v>
      </c>
      <c r="D23" s="2">
        <v>0.76400000000000001</v>
      </c>
      <c r="E23" s="2">
        <v>0.79600000000000004</v>
      </c>
      <c r="F23" s="2">
        <v>0.81</v>
      </c>
    </row>
    <row r="24" spans="1:6" x14ac:dyDescent="0.2">
      <c r="A24" s="1" t="s">
        <v>23</v>
      </c>
      <c r="B24" s="2">
        <v>0.63500000000000001</v>
      </c>
      <c r="C24" s="2">
        <v>0.65</v>
      </c>
      <c r="D24" s="2">
        <v>0.68300000000000005</v>
      </c>
      <c r="E24" s="2">
        <v>0.69899999999999995</v>
      </c>
      <c r="F24" s="2">
        <v>0.746</v>
      </c>
    </row>
    <row r="25" spans="1:6" x14ac:dyDescent="0.2">
      <c r="A25" s="1" t="s">
        <v>24</v>
      </c>
      <c r="B25" s="2">
        <v>30.422000000000001</v>
      </c>
      <c r="C25" s="2">
        <v>36.758000000000003</v>
      </c>
      <c r="D25" s="2">
        <v>36.25</v>
      </c>
      <c r="E25" s="2">
        <v>35.322000000000003</v>
      </c>
      <c r="F25" s="2">
        <v>35.08</v>
      </c>
    </row>
    <row r="26" spans="1:6" x14ac:dyDescent="0.2">
      <c r="A26" s="1" t="s">
        <v>25</v>
      </c>
      <c r="B26" s="2">
        <v>44.006</v>
      </c>
      <c r="C26" s="2">
        <v>44.006</v>
      </c>
      <c r="D26" s="2">
        <v>44.006</v>
      </c>
      <c r="E26" s="2">
        <v>44.006</v>
      </c>
      <c r="F26" s="2">
        <v>44.006</v>
      </c>
    </row>
    <row r="27" spans="1:6" x14ac:dyDescent="0.2">
      <c r="A27" s="1" t="s">
        <v>26</v>
      </c>
      <c r="B27" s="2">
        <v>39376.35</v>
      </c>
      <c r="C27" s="2">
        <v>32681.671999999999</v>
      </c>
      <c r="D27" s="2">
        <v>30908.85</v>
      </c>
      <c r="E27" s="2">
        <v>34816.927000000003</v>
      </c>
      <c r="F27" s="2">
        <v>36516.271999999997</v>
      </c>
    </row>
    <row r="28" spans="1:6" x14ac:dyDescent="0.2">
      <c r="A28" s="1" t="s">
        <v>27</v>
      </c>
      <c r="B28" s="2">
        <v>0.49</v>
      </c>
      <c r="C28" s="2">
        <v>0.50800000000000001</v>
      </c>
      <c r="D28" s="2">
        <v>0.51500000000000001</v>
      </c>
      <c r="E28" s="2">
        <v>0.54200000000000004</v>
      </c>
      <c r="F28" s="2">
        <v>0.56899999999999995</v>
      </c>
    </row>
    <row r="29" spans="1:6" x14ac:dyDescent="0.2">
      <c r="A29" s="1" t="s">
        <v>28</v>
      </c>
      <c r="B29" s="2">
        <v>0.51100000000000001</v>
      </c>
      <c r="C29" s="2">
        <v>0.57099999999999995</v>
      </c>
      <c r="D29" s="2">
        <v>0.55700000000000005</v>
      </c>
      <c r="E29" s="2">
        <v>0.61199999999999999</v>
      </c>
      <c r="F29" s="2">
        <v>0.57999999999999996</v>
      </c>
    </row>
    <row r="30" spans="1:6" x14ac:dyDescent="0.2">
      <c r="A30" s="1" t="s">
        <v>29</v>
      </c>
      <c r="B30" s="2">
        <v>0.55800000000000005</v>
      </c>
      <c r="C30" s="2">
        <v>0.60899999999999999</v>
      </c>
      <c r="D30" s="2">
        <v>0.59299999999999997</v>
      </c>
      <c r="E30" s="2">
        <v>0.66100000000000003</v>
      </c>
      <c r="F30" s="2">
        <v>0.61799999999999999</v>
      </c>
    </row>
    <row r="31" spans="1:6" x14ac:dyDescent="0.2">
      <c r="A31" s="1" t="s">
        <v>30</v>
      </c>
      <c r="B31" s="2">
        <v>0.52</v>
      </c>
      <c r="C31" s="2">
        <v>0.57399999999999995</v>
      </c>
      <c r="D31" s="2">
        <v>0.56599999999999995</v>
      </c>
      <c r="E31" s="2">
        <v>0.61399999999999999</v>
      </c>
      <c r="F31" s="2">
        <v>0.59699999999999998</v>
      </c>
    </row>
    <row r="32" spans="1:6" x14ac:dyDescent="0.2">
      <c r="A32" s="1" t="s">
        <v>31</v>
      </c>
      <c r="B32" s="2">
        <v>0.44600000000000001</v>
      </c>
      <c r="C32" s="2">
        <v>0.51300000000000001</v>
      </c>
      <c r="D32" s="2">
        <v>0.52500000000000002</v>
      </c>
      <c r="E32" s="2">
        <v>0.53</v>
      </c>
      <c r="F32" s="2">
        <v>0.55500000000000005</v>
      </c>
    </row>
    <row r="33" spans="1:6" x14ac:dyDescent="0.2">
      <c r="A33" s="1" t="s">
        <v>32</v>
      </c>
      <c r="B33" s="2">
        <v>0.95799999999999996</v>
      </c>
      <c r="C33" s="2">
        <v>1.0469999999999999</v>
      </c>
      <c r="D33" s="2">
        <v>0.95</v>
      </c>
      <c r="E33" s="2">
        <v>0.88</v>
      </c>
      <c r="F33" s="2">
        <v>0.97499999999999998</v>
      </c>
    </row>
    <row r="34" spans="1:6" x14ac:dyDescent="0.2">
      <c r="A34" s="1" t="s">
        <v>33</v>
      </c>
      <c r="B34" s="2">
        <v>0.36</v>
      </c>
      <c r="C34" s="2">
        <v>0.51700000000000002</v>
      </c>
      <c r="D34" s="2">
        <v>0.48399999999999999</v>
      </c>
      <c r="E34" s="2">
        <v>0.53100000000000003</v>
      </c>
      <c r="F34" s="2">
        <v>0.53200000000000003</v>
      </c>
    </row>
    <row r="35" spans="1:6" x14ac:dyDescent="0.2">
      <c r="A35" s="1" t="s">
        <v>34</v>
      </c>
      <c r="B35" s="2">
        <v>0.11899999999999999</v>
      </c>
      <c r="C35" s="2">
        <v>0.182</v>
      </c>
      <c r="D35" s="2">
        <v>0.217</v>
      </c>
      <c r="E35" s="2">
        <v>0.219</v>
      </c>
      <c r="F35" s="2">
        <v>0.218</v>
      </c>
    </row>
    <row r="36" spans="1:6" x14ac:dyDescent="0.2">
      <c r="A36" s="1" t="s">
        <v>35</v>
      </c>
      <c r="B36" s="2">
        <v>3.5000000000000003E-2</v>
      </c>
      <c r="C36" s="2">
        <v>5.3999999999999999E-2</v>
      </c>
      <c r="D36" s="2">
        <v>4.4999999999999998E-2</v>
      </c>
      <c r="E36" s="2">
        <v>9.2999999999999999E-2</v>
      </c>
      <c r="F36" s="2">
        <v>8.7999999999999995E-2</v>
      </c>
    </row>
    <row r="37" spans="1:6" x14ac:dyDescent="0.2">
      <c r="A37" s="1" t="s">
        <v>36</v>
      </c>
      <c r="B37" s="2">
        <v>0.54700000000000004</v>
      </c>
      <c r="C37" s="2">
        <v>0.497</v>
      </c>
      <c r="D37" s="2">
        <v>0.53700000000000003</v>
      </c>
      <c r="E37" s="2">
        <v>0.56499999999999995</v>
      </c>
      <c r="F37" s="2">
        <v>0.53200000000000003</v>
      </c>
    </row>
    <row r="38" spans="1:6" x14ac:dyDescent="0.2">
      <c r="A38" s="1" t="s">
        <v>37</v>
      </c>
      <c r="B38" s="2">
        <v>0.36599999999999999</v>
      </c>
      <c r="C38" s="2">
        <v>0.33200000000000002</v>
      </c>
      <c r="D38" s="2">
        <v>0.35</v>
      </c>
      <c r="E38" s="2">
        <v>0.40899999999999997</v>
      </c>
      <c r="F38" s="2">
        <v>0.38800000000000001</v>
      </c>
    </row>
    <row r="39" spans="1:6" x14ac:dyDescent="0.2">
      <c r="A39" s="1" t="s">
        <v>38</v>
      </c>
      <c r="B39" s="2">
        <v>0.97099999999999997</v>
      </c>
      <c r="C39" s="2">
        <v>0.81</v>
      </c>
      <c r="D39" s="2">
        <v>0.79900000000000004</v>
      </c>
      <c r="E39" s="2">
        <v>0.81499999999999995</v>
      </c>
      <c r="F39" s="2">
        <v>0.76400000000000001</v>
      </c>
    </row>
    <row r="40" spans="1:6" x14ac:dyDescent="0.2">
      <c r="A40" s="1" t="s">
        <v>39</v>
      </c>
      <c r="B40" s="2">
        <v>0.38800000000000001</v>
      </c>
      <c r="C40" s="2">
        <v>0.45</v>
      </c>
      <c r="D40" s="2">
        <v>0.42699999999999999</v>
      </c>
      <c r="E40" s="2">
        <v>0.47499999999999998</v>
      </c>
      <c r="F40" s="2">
        <v>0.45800000000000002</v>
      </c>
    </row>
    <row r="41" spans="1:6" x14ac:dyDescent="0.2"/>
    <row r="42" spans="1:6" s="4" customFormat="1" ht="4" customHeight="1" x14ac:dyDescent="0.2">
      <c r="A42" s="3"/>
    </row>
    <row r="43" spans="1:6" x14ac:dyDescent="0.2">
      <c r="A43" s="2"/>
    </row>
    <row r="44" spans="1:6" x14ac:dyDescent="0.2">
      <c r="B44" s="1" t="s">
        <v>41</v>
      </c>
      <c r="C44" s="2" t="s">
        <v>42</v>
      </c>
      <c r="D44" s="2" t="s">
        <v>43</v>
      </c>
      <c r="E44" s="2" t="s">
        <v>44</v>
      </c>
      <c r="F44" s="2" t="s">
        <v>45</v>
      </c>
    </row>
    <row r="45" spans="1:6" x14ac:dyDescent="0.2">
      <c r="C45" s="1" t="s">
        <v>40</v>
      </c>
      <c r="D45" s="2">
        <v>60</v>
      </c>
    </row>
    <row r="46" spans="1:6" x14ac:dyDescent="0.2"/>
    <row r="47" spans="1:6" x14ac:dyDescent="0.2"/>
    <row r="48" spans="1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D25A-59F1-9743-A329-F348C2428323}">
  <dimension ref="A1:W206"/>
  <sheetViews>
    <sheetView tabSelected="1" topLeftCell="A21" workbookViewId="0">
      <selection activeCell="C50" sqref="C50"/>
    </sheetView>
  </sheetViews>
  <sheetFormatPr baseColWidth="10" defaultColWidth="0" defaultRowHeight="16" customHeight="1" zeroHeight="1" x14ac:dyDescent="0.2"/>
  <cols>
    <col min="1" max="1" width="60.6640625" style="1" customWidth="1"/>
    <col min="2" max="2" width="16.6640625" style="2" customWidth="1"/>
    <col min="3" max="3" width="16.83203125" style="2" customWidth="1"/>
    <col min="4" max="4" width="15.83203125" style="2" customWidth="1"/>
    <col min="5" max="5" width="15.6640625" style="2" customWidth="1"/>
    <col min="6" max="6" width="17.1640625" style="2" customWidth="1"/>
    <col min="7" max="23" width="0" style="2" hidden="1" customWidth="1"/>
    <col min="24" max="16384" width="10.83203125" style="2" hidden="1"/>
  </cols>
  <sheetData>
    <row r="1" spans="1:6" s="1" customFormat="1" x14ac:dyDescent="0.2"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s="1" t="s">
        <v>1</v>
      </c>
      <c r="B2" s="2">
        <v>59</v>
      </c>
      <c r="C2" s="2">
        <v>59</v>
      </c>
      <c r="D2" s="2">
        <v>59</v>
      </c>
      <c r="E2" s="2">
        <v>59</v>
      </c>
      <c r="F2" s="2">
        <v>59</v>
      </c>
    </row>
    <row r="3" spans="1:6" x14ac:dyDescent="0.2">
      <c r="A3" s="1" t="s">
        <v>2</v>
      </c>
      <c r="B3" s="2">
        <v>1</v>
      </c>
      <c r="C3" s="2">
        <v>1</v>
      </c>
      <c r="D3" s="2">
        <v>1</v>
      </c>
      <c r="E3" s="2">
        <v>1</v>
      </c>
      <c r="F3" s="2">
        <v>1</v>
      </c>
    </row>
    <row r="4" spans="1:6" ht="17" customHeight="1" x14ac:dyDescent="0.2">
      <c r="A4" s="1" t="s">
        <v>3</v>
      </c>
      <c r="B4" s="2">
        <v>55</v>
      </c>
      <c r="C4" s="2">
        <v>55</v>
      </c>
      <c r="D4" s="2">
        <v>55</v>
      </c>
      <c r="E4" s="2">
        <v>55</v>
      </c>
      <c r="F4" s="2">
        <v>55</v>
      </c>
    </row>
    <row r="5" spans="1:6" x14ac:dyDescent="0.2">
      <c r="A5" s="1" t="s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 x14ac:dyDescent="0.2">
      <c r="A6" s="1" t="s">
        <v>5</v>
      </c>
      <c r="B6" s="2">
        <f>D45-0</f>
        <v>60</v>
      </c>
      <c r="C6" s="2">
        <f>D45-0</f>
        <v>60</v>
      </c>
      <c r="D6" s="2">
        <f>D45-0</f>
        <v>60</v>
      </c>
      <c r="E6" s="2">
        <f>D45-0</f>
        <v>60</v>
      </c>
      <c r="F6" s="2">
        <f>D45-0</f>
        <v>60</v>
      </c>
    </row>
    <row r="7" spans="1:6" ht="17" customHeight="1" x14ac:dyDescent="0.2">
      <c r="A7" s="1" t="s">
        <v>6</v>
      </c>
      <c r="B7" s="2">
        <f>B6-37</f>
        <v>23</v>
      </c>
      <c r="C7" s="2">
        <f>C6-33</f>
        <v>27</v>
      </c>
      <c r="D7" s="2">
        <f>D6-30.666</f>
        <v>29.334</v>
      </c>
      <c r="E7" s="2">
        <f>E6-27.666</f>
        <v>32.334000000000003</v>
      </c>
      <c r="F7" s="2">
        <f>F6-26.333</f>
        <v>33.667000000000002</v>
      </c>
    </row>
    <row r="8" spans="1:6" x14ac:dyDescent="0.2">
      <c r="A8" s="1" t="s">
        <v>7</v>
      </c>
      <c r="B8" s="2">
        <f>B7-16.333</f>
        <v>6.6670000000000016</v>
      </c>
      <c r="C8" s="2">
        <f>C7-14.666</f>
        <v>12.334</v>
      </c>
      <c r="D8" s="2">
        <f>D7-15</f>
        <v>14.334</v>
      </c>
      <c r="E8" s="2">
        <f>E7-11</f>
        <v>21.334000000000003</v>
      </c>
      <c r="F8" s="2">
        <f>F7-8</f>
        <v>25.667000000000002</v>
      </c>
    </row>
    <row r="9" spans="1:6" x14ac:dyDescent="0.2">
      <c r="A9" s="1" t="s">
        <v>8</v>
      </c>
      <c r="B9" s="5">
        <v>607</v>
      </c>
      <c r="C9" s="5">
        <v>67</v>
      </c>
      <c r="D9" s="5">
        <v>114</v>
      </c>
      <c r="E9" s="5">
        <v>448.666</v>
      </c>
      <c r="F9" s="5">
        <v>302</v>
      </c>
    </row>
    <row r="10" spans="1:6" x14ac:dyDescent="0.2">
      <c r="A10" s="1" t="s">
        <v>9</v>
      </c>
      <c r="B10" s="5">
        <v>234</v>
      </c>
      <c r="C10" s="5">
        <v>25.82</v>
      </c>
      <c r="D10" s="5">
        <v>44.38</v>
      </c>
      <c r="E10" s="5">
        <v>174.666</v>
      </c>
      <c r="F10" s="5">
        <v>141.666</v>
      </c>
    </row>
    <row r="11" spans="1:6" ht="17" customHeight="1" x14ac:dyDescent="0.2">
      <c r="A11" s="1" t="s">
        <v>10</v>
      </c>
      <c r="B11" s="5">
        <f t="shared" ref="B11:F11" si="0">B10/B9*100</f>
        <v>38.550247116968698</v>
      </c>
      <c r="C11" s="5">
        <f t="shared" si="0"/>
        <v>38.537313432835823</v>
      </c>
      <c r="D11" s="5">
        <f t="shared" si="0"/>
        <v>38.929824561403507</v>
      </c>
      <c r="E11" s="5">
        <f t="shared" si="0"/>
        <v>38.930072704417093</v>
      </c>
      <c r="F11" s="5">
        <f t="shared" si="0"/>
        <v>46.909271523178809</v>
      </c>
    </row>
    <row r="12" spans="1:6" x14ac:dyDescent="0.2">
      <c r="A12" s="1" t="s">
        <v>11</v>
      </c>
      <c r="B12" s="5">
        <v>429.33300000000003</v>
      </c>
      <c r="C12" s="5">
        <v>96</v>
      </c>
      <c r="D12" s="5">
        <v>153</v>
      </c>
      <c r="E12" s="5">
        <v>360.666</v>
      </c>
      <c r="F12" s="5">
        <v>247.666</v>
      </c>
    </row>
    <row r="13" spans="1:6" x14ac:dyDescent="0.2">
      <c r="A13" s="1" t="s">
        <v>12</v>
      </c>
      <c r="B13" s="5">
        <v>694.66600000000005</v>
      </c>
      <c r="C13" s="5">
        <v>157</v>
      </c>
      <c r="D13" s="5">
        <v>225</v>
      </c>
      <c r="E13" s="5">
        <v>351</v>
      </c>
      <c r="F13" s="5">
        <v>241</v>
      </c>
    </row>
    <row r="14" spans="1:6" x14ac:dyDescent="0.2">
      <c r="A14" s="1" t="s">
        <v>13</v>
      </c>
      <c r="B14" s="5">
        <f>B12+B13</f>
        <v>1123.999</v>
      </c>
      <c r="C14" s="5">
        <f t="shared" ref="C14:F14" si="1">C12+C13</f>
        <v>253</v>
      </c>
      <c r="D14" s="5">
        <f t="shared" si="1"/>
        <v>378</v>
      </c>
      <c r="E14" s="5">
        <f t="shared" si="1"/>
        <v>711.66599999999994</v>
      </c>
      <c r="F14" s="5">
        <f t="shared" si="1"/>
        <v>488.666</v>
      </c>
    </row>
    <row r="15" spans="1:6" x14ac:dyDescent="0.2">
      <c r="A15" s="1" t="s">
        <v>14</v>
      </c>
      <c r="B15" s="5">
        <f>(B16/(B16+B17)*100)</f>
        <v>37.096165446026738</v>
      </c>
      <c r="C15" s="5">
        <f t="shared" ref="C15:F15" si="2">(C16/(C16+C17)*100)</f>
        <v>42.09717643947787</v>
      </c>
      <c r="D15" s="5">
        <f t="shared" si="2"/>
        <v>44.133356584190707</v>
      </c>
      <c r="E15" s="5">
        <f t="shared" si="2"/>
        <v>46.135053116315419</v>
      </c>
      <c r="F15" s="5">
        <f t="shared" si="2"/>
        <v>48.70336199624149</v>
      </c>
    </row>
    <row r="16" spans="1:6" x14ac:dyDescent="0.2">
      <c r="A16" s="1" t="s">
        <v>15</v>
      </c>
      <c r="B16" s="5">
        <v>325.33300000000003</v>
      </c>
      <c r="C16" s="5">
        <v>92.332999999999998</v>
      </c>
      <c r="D16" s="5">
        <v>136.666</v>
      </c>
      <c r="E16" s="5">
        <v>252.666</v>
      </c>
      <c r="F16" s="5">
        <v>200.333</v>
      </c>
    </row>
    <row r="17" spans="1:6" x14ac:dyDescent="0.2">
      <c r="A17" s="1" t="s">
        <v>16</v>
      </c>
      <c r="B17" s="5">
        <v>551.66600000000005</v>
      </c>
      <c r="C17" s="5">
        <v>127</v>
      </c>
      <c r="D17" s="5">
        <v>173</v>
      </c>
      <c r="E17" s="5">
        <v>295</v>
      </c>
      <c r="F17" s="5">
        <v>211</v>
      </c>
    </row>
    <row r="18" spans="1:6" x14ac:dyDescent="0.2">
      <c r="A18" s="1" t="s">
        <v>17</v>
      </c>
      <c r="B18" s="5">
        <f>B16+B17</f>
        <v>876.99900000000002</v>
      </c>
      <c r="C18" s="5">
        <f t="shared" ref="C18:F18" si="3">C16+C17</f>
        <v>219.333</v>
      </c>
      <c r="D18" s="5">
        <f t="shared" si="3"/>
        <v>309.666</v>
      </c>
      <c r="E18" s="5">
        <f t="shared" si="3"/>
        <v>547.66599999999994</v>
      </c>
      <c r="F18" s="5">
        <f t="shared" si="3"/>
        <v>411.33299999999997</v>
      </c>
    </row>
    <row r="19" spans="1:6" x14ac:dyDescent="0.2">
      <c r="A19" s="1" t="s">
        <v>18</v>
      </c>
      <c r="B19" s="5">
        <f>B18/B14*100</f>
        <v>78.02489148122018</v>
      </c>
      <c r="C19" s="5">
        <f t="shared" ref="C19:F19" si="4">C18/C14*100</f>
        <v>86.692885375494072</v>
      </c>
      <c r="D19" s="5">
        <f t="shared" si="4"/>
        <v>81.922222222222217</v>
      </c>
      <c r="E19" s="5">
        <f t="shared" si="4"/>
        <v>76.95548192551</v>
      </c>
      <c r="F19" s="5">
        <f t="shared" si="4"/>
        <v>84.17467145248493</v>
      </c>
    </row>
    <row r="20" spans="1:6" x14ac:dyDescent="0.2">
      <c r="A20" s="1" t="s">
        <v>19</v>
      </c>
      <c r="B20" s="5">
        <v>104</v>
      </c>
      <c r="C20" s="5">
        <v>3.6659999999999999</v>
      </c>
      <c r="D20" s="5">
        <v>16.332999999999998</v>
      </c>
      <c r="E20" s="5">
        <v>151</v>
      </c>
      <c r="F20" s="5">
        <v>47.332999999999998</v>
      </c>
    </row>
    <row r="21" spans="1:6" x14ac:dyDescent="0.2">
      <c r="A21" s="1" t="s">
        <v>20</v>
      </c>
      <c r="B21" s="5">
        <v>143</v>
      </c>
      <c r="C21" s="5">
        <v>30</v>
      </c>
      <c r="D21" s="5">
        <v>52</v>
      </c>
      <c r="E21" s="5">
        <v>56</v>
      </c>
      <c r="F21" s="5">
        <v>30</v>
      </c>
    </row>
    <row r="22" spans="1:6" ht="17" customHeight="1" x14ac:dyDescent="0.2">
      <c r="A22" s="1" t="s">
        <v>21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</row>
    <row r="23" spans="1:6" ht="17" customHeight="1" x14ac:dyDescent="0.2">
      <c r="A23" s="1" t="s">
        <v>22</v>
      </c>
      <c r="B23" s="5">
        <v>0.51</v>
      </c>
      <c r="C23" s="5">
        <v>0.51100000000000001</v>
      </c>
      <c r="D23" s="5">
        <v>0.52500000000000002</v>
      </c>
      <c r="E23" s="5">
        <v>0.52900000000000003</v>
      </c>
      <c r="F23" s="5">
        <v>0.54500000000000004</v>
      </c>
    </row>
    <row r="24" spans="1:6" x14ac:dyDescent="0.2">
      <c r="A24" s="1" t="s">
        <v>23</v>
      </c>
      <c r="B24" s="2">
        <v>0.38500000000000001</v>
      </c>
      <c r="C24" s="2">
        <v>0.51400000000000001</v>
      </c>
      <c r="D24" s="2">
        <v>0.63100000000000001</v>
      </c>
      <c r="E24" s="2">
        <v>0.68899999999999995</v>
      </c>
      <c r="F24" s="2">
        <v>0.69899999999999995</v>
      </c>
    </row>
    <row r="25" spans="1:6" x14ac:dyDescent="0.2">
      <c r="A25" s="1" t="s">
        <v>24</v>
      </c>
      <c r="B25" s="2">
        <v>36.036000000000001</v>
      </c>
      <c r="C25" s="2">
        <v>27.885999999999999</v>
      </c>
      <c r="D25" s="2">
        <v>28.687000000000001</v>
      </c>
      <c r="E25" s="2">
        <v>36.478999999999999</v>
      </c>
      <c r="F25" s="2">
        <v>37.750999999999998</v>
      </c>
    </row>
    <row r="26" spans="1:6" x14ac:dyDescent="0.2">
      <c r="A26" s="1" t="s">
        <v>25</v>
      </c>
      <c r="B26" s="2">
        <v>44.006</v>
      </c>
      <c r="C26" s="2">
        <v>44.006</v>
      </c>
      <c r="D26" s="2">
        <v>44.006</v>
      </c>
      <c r="E26" s="2">
        <v>44.006</v>
      </c>
      <c r="F26" s="2">
        <v>44.006</v>
      </c>
    </row>
    <row r="27" spans="1:6" x14ac:dyDescent="0.2">
      <c r="A27" s="1" t="s">
        <v>26</v>
      </c>
      <c r="B27" s="2">
        <v>45433.983</v>
      </c>
      <c r="C27" s="2">
        <v>37296.887999999999</v>
      </c>
      <c r="D27" s="2">
        <v>49550.75</v>
      </c>
      <c r="E27" s="2">
        <v>45406.387999999999</v>
      </c>
      <c r="F27" s="2">
        <v>47178.743999999999</v>
      </c>
    </row>
    <row r="28" spans="1:6" x14ac:dyDescent="0.2">
      <c r="A28" s="1" t="s">
        <v>27</v>
      </c>
      <c r="B28" s="2">
        <v>0.41099999999999998</v>
      </c>
      <c r="C28" s="2">
        <v>0.46600000000000003</v>
      </c>
      <c r="D28" s="2">
        <v>0.503</v>
      </c>
      <c r="E28" s="2">
        <v>0.61</v>
      </c>
      <c r="F28" s="2">
        <v>0.66600000000000004</v>
      </c>
    </row>
    <row r="29" spans="1:6" x14ac:dyDescent="0.2">
      <c r="A29" s="1" t="s">
        <v>28</v>
      </c>
      <c r="B29" s="2">
        <v>0.45300000000000001</v>
      </c>
      <c r="C29" s="2">
        <v>0.55700000000000005</v>
      </c>
      <c r="D29" s="2">
        <v>0.57499999999999996</v>
      </c>
      <c r="E29" s="2">
        <v>0.48</v>
      </c>
      <c r="F29" s="2">
        <v>0.48</v>
      </c>
    </row>
    <row r="30" spans="1:6" x14ac:dyDescent="0.2">
      <c r="A30" s="1" t="s">
        <v>29</v>
      </c>
      <c r="B30" s="2">
        <v>0.48899999999999999</v>
      </c>
      <c r="C30" s="2">
        <v>0.61699999999999999</v>
      </c>
      <c r="D30" s="2">
        <v>0.64</v>
      </c>
      <c r="E30" s="2">
        <v>0.51300000000000001</v>
      </c>
      <c r="F30" s="2">
        <v>0.51200000000000001</v>
      </c>
    </row>
    <row r="31" spans="1:6" x14ac:dyDescent="0.2">
      <c r="A31" s="1" t="s">
        <v>30</v>
      </c>
      <c r="B31" s="2">
        <v>0.46700000000000003</v>
      </c>
      <c r="C31" s="2">
        <v>0.55500000000000005</v>
      </c>
      <c r="D31" s="2">
        <v>0.56000000000000005</v>
      </c>
      <c r="E31" s="2">
        <v>0.505</v>
      </c>
      <c r="F31" s="2">
        <v>0.51300000000000001</v>
      </c>
    </row>
    <row r="32" spans="1:6" x14ac:dyDescent="0.2">
      <c r="A32" s="1" t="s">
        <v>31</v>
      </c>
      <c r="B32" s="2">
        <v>0.4</v>
      </c>
      <c r="C32" s="2">
        <v>0.51100000000000001</v>
      </c>
      <c r="D32" s="2">
        <v>0.51900000000000002</v>
      </c>
      <c r="E32" s="2">
        <v>0.53300000000000003</v>
      </c>
      <c r="F32" s="2">
        <v>0.59699999999999998</v>
      </c>
    </row>
    <row r="33" spans="1:6" x14ac:dyDescent="0.2">
      <c r="A33" s="1" t="s">
        <v>32</v>
      </c>
      <c r="B33" s="2">
        <v>1.1379999999999999</v>
      </c>
      <c r="C33" s="2">
        <v>0.89700000000000002</v>
      </c>
      <c r="D33" s="2">
        <v>0.89100000000000001</v>
      </c>
      <c r="E33" s="2">
        <v>1.03</v>
      </c>
      <c r="F33" s="2">
        <v>1.012</v>
      </c>
    </row>
    <row r="34" spans="1:6" x14ac:dyDescent="0.2">
      <c r="A34" s="1" t="s">
        <v>33</v>
      </c>
      <c r="B34" s="2">
        <v>0.30399999999999999</v>
      </c>
      <c r="C34" s="2">
        <v>0.45200000000000001</v>
      </c>
      <c r="D34" s="2">
        <v>0.46899999999999997</v>
      </c>
      <c r="E34" s="2">
        <v>0.434</v>
      </c>
      <c r="F34" s="2">
        <v>0.41899999999999998</v>
      </c>
    </row>
    <row r="35" spans="1:6" x14ac:dyDescent="0.2">
      <c r="A35" s="1" t="s">
        <v>34</v>
      </c>
      <c r="B35" s="2">
        <v>0.14599999999999999</v>
      </c>
      <c r="C35" s="2">
        <v>0.107</v>
      </c>
      <c r="D35" s="2">
        <v>0.155</v>
      </c>
      <c r="E35" s="2">
        <v>0.245</v>
      </c>
      <c r="F35" s="2">
        <v>0.217</v>
      </c>
    </row>
    <row r="36" spans="1:6" x14ac:dyDescent="0.2">
      <c r="A36" s="1" t="s">
        <v>35</v>
      </c>
      <c r="B36" s="2">
        <v>0.01</v>
      </c>
      <c r="C36" s="2">
        <v>8.0000000000000002E-3</v>
      </c>
      <c r="D36" s="2">
        <v>2.5000000000000001E-2</v>
      </c>
      <c r="E36" s="2">
        <v>3.9E-2</v>
      </c>
      <c r="F36" s="2">
        <v>1.7000000000000001E-2</v>
      </c>
    </row>
    <row r="37" spans="1:6" x14ac:dyDescent="0.2">
      <c r="A37" s="1" t="s">
        <v>36</v>
      </c>
      <c r="B37" s="2">
        <v>0.49199999999999999</v>
      </c>
      <c r="C37" s="2">
        <v>0.56100000000000005</v>
      </c>
      <c r="D37" s="2">
        <v>0.5</v>
      </c>
      <c r="E37" s="2">
        <v>0.47899999999999998</v>
      </c>
      <c r="F37" s="2">
        <v>0.48099999999999998</v>
      </c>
    </row>
    <row r="38" spans="1:6" x14ac:dyDescent="0.2">
      <c r="A38" s="1" t="s">
        <v>37</v>
      </c>
      <c r="B38" s="2">
        <v>0.32</v>
      </c>
      <c r="C38" s="2">
        <v>0.39800000000000002</v>
      </c>
      <c r="D38" s="2">
        <v>0.41199999999999998</v>
      </c>
      <c r="E38" s="2">
        <v>0.23599999999999999</v>
      </c>
      <c r="F38" s="2">
        <v>0.30499999999999999</v>
      </c>
    </row>
    <row r="39" spans="1:6" x14ac:dyDescent="0.2">
      <c r="A39" s="1" t="s">
        <v>38</v>
      </c>
      <c r="B39" s="2">
        <v>0.73699999999999999</v>
      </c>
      <c r="C39" s="2">
        <v>0.76500000000000001</v>
      </c>
      <c r="D39" s="2">
        <v>0.72899999999999998</v>
      </c>
      <c r="E39" s="2">
        <v>0.73199999999999998</v>
      </c>
      <c r="F39" s="2">
        <v>0.75700000000000001</v>
      </c>
    </row>
    <row r="40" spans="1:6" x14ac:dyDescent="0.2">
      <c r="A40" s="1" t="s">
        <v>39</v>
      </c>
      <c r="B40" s="2">
        <v>0.33600000000000002</v>
      </c>
      <c r="C40" s="2">
        <v>0.40899999999999997</v>
      </c>
      <c r="D40" s="2">
        <v>0.42499999999999999</v>
      </c>
      <c r="E40" s="2">
        <v>0.24399999999999999</v>
      </c>
      <c r="F40" s="2">
        <v>0.33700000000000002</v>
      </c>
    </row>
    <row r="41" spans="1:6" x14ac:dyDescent="0.2"/>
    <row r="42" spans="1:6" s="4" customFormat="1" ht="4" customHeight="1" x14ac:dyDescent="0.2">
      <c r="A42" s="3"/>
    </row>
    <row r="43" spans="1:6" x14ac:dyDescent="0.2">
      <c r="A43" s="2"/>
    </row>
    <row r="44" spans="1:6" x14ac:dyDescent="0.2">
      <c r="B44" s="1" t="s">
        <v>41</v>
      </c>
      <c r="C44" s="2" t="s">
        <v>42</v>
      </c>
      <c r="D44" s="2" t="s">
        <v>43</v>
      </c>
      <c r="E44" s="2" t="s">
        <v>44</v>
      </c>
      <c r="F44" s="2" t="s">
        <v>45</v>
      </c>
    </row>
    <row r="45" spans="1:6" x14ac:dyDescent="0.2">
      <c r="C45" s="1" t="s">
        <v>40</v>
      </c>
      <c r="D45" s="2">
        <v>60</v>
      </c>
    </row>
    <row r="46" spans="1:6" x14ac:dyDescent="0.2"/>
    <row r="47" spans="1:6" x14ac:dyDescent="0.2"/>
    <row r="48" spans="1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GPT-4o</vt:lpstr>
      <vt:lpstr>Raw Data - LLaMA-3.2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Jalili Torkamani</dc:creator>
  <cp:keywords/>
  <dc:description/>
  <cp:lastModifiedBy>Mohammad Jalili Torkamani</cp:lastModifiedBy>
  <cp:revision/>
  <dcterms:created xsi:type="dcterms:W3CDTF">2025-09-15T18:27:01Z</dcterms:created>
  <dcterms:modified xsi:type="dcterms:W3CDTF">2025-11-20T18:32:11Z</dcterms:modified>
  <cp:category/>
  <cp:contentStatus/>
</cp:coreProperties>
</file>